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IT\Downloads\raice-labz-site-main\"/>
    </mc:Choice>
  </mc:AlternateContent>
  <xr:revisionPtr revIDLastSave="0" documentId="8_{30443EB8-A4B0-449F-A464-8E9E72FF56EE}" xr6:coauthVersionLast="47" xr6:coauthVersionMax="47" xr10:uidLastSave="{00000000-0000-0000-0000-000000000000}"/>
  <bookViews>
    <workbookView xWindow="-110" yWindow="-110" windowWidth="19420" windowHeight="10300" xr2:uid="{94099E76-B2B6-4264-B7A9-20C10504E468}"/>
  </bookViews>
  <sheets>
    <sheet name="Drying proc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5" i="1"/>
  <c r="H13" i="1"/>
  <c r="J8" i="1"/>
  <c r="C16" i="1"/>
  <c r="H12" i="1"/>
  <c r="H11" i="1"/>
  <c r="H10" i="1"/>
  <c r="H9" i="1"/>
  <c r="H8" i="1"/>
  <c r="H7" i="1"/>
  <c r="J7" i="1"/>
  <c r="J9" i="1"/>
  <c r="J10" i="1"/>
  <c r="J11" i="1"/>
  <c r="J12" i="1"/>
  <c r="C11" i="1"/>
</calcChain>
</file>

<file path=xl/sharedStrings.xml><?xml version="1.0" encoding="utf-8"?>
<sst xmlns="http://schemas.openxmlformats.org/spreadsheetml/2006/main" count="31" uniqueCount="31">
  <si>
    <t>Purchased data</t>
  </si>
  <si>
    <t>paddy price per kg</t>
  </si>
  <si>
    <t>kg/bag</t>
  </si>
  <si>
    <t>nos of bags</t>
  </si>
  <si>
    <t xml:space="preserve">Transporation cost </t>
  </si>
  <si>
    <t>miller</t>
  </si>
  <si>
    <t xml:space="preserve">Loading cost </t>
  </si>
  <si>
    <t xml:space="preserve">Miller </t>
  </si>
  <si>
    <t>husk %</t>
  </si>
  <si>
    <t>bran %</t>
  </si>
  <si>
    <t xml:space="preserve">head rice % </t>
  </si>
  <si>
    <t>combined brokens%</t>
  </si>
  <si>
    <t>Impurites%</t>
  </si>
  <si>
    <t>Immature grains%</t>
  </si>
  <si>
    <t>%</t>
  </si>
  <si>
    <t>total quote</t>
  </si>
  <si>
    <t>to be paid to miller</t>
  </si>
  <si>
    <t>Actual input moisture %</t>
  </si>
  <si>
    <t>Moisture of paddy sent by trader%</t>
  </si>
  <si>
    <t>Mandi</t>
  </si>
  <si>
    <t>Vehicle number</t>
  </si>
  <si>
    <t>price per kg inr</t>
  </si>
  <si>
    <t>out of 1 kg paddy (inr) minimum you can sell</t>
  </si>
  <si>
    <t>delta moisture %</t>
  </si>
  <si>
    <t>Delta moisture %</t>
  </si>
  <si>
    <t>Weight(gms) /100gms</t>
  </si>
  <si>
    <t xml:space="preserve"> </t>
  </si>
  <si>
    <t xml:space="preserve">Landed cost </t>
  </si>
  <si>
    <t>total impuriteis %</t>
  </si>
  <si>
    <t>total immature grain %</t>
  </si>
  <si>
    <t>Margin/market fee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</si>
</sst>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8B81-535F-4028-A3B7-1D38DACB6076}">
  <dimension ref="B1:J20"/>
  <sheetViews>
    <sheetView tabSelected="1" topLeftCell="A3" workbookViewId="0">
      <selection activeCell="G15" sqref="G15"/>
    </sheetView>
  </sheetViews>
  <sheetFormatPr defaultRowHeight="14.5" x14ac:dyDescent="0.35"/>
  <cols>
    <col min="2" max="2" width="30.90625" customWidth="1"/>
    <col min="6" max="6" width="24.453125" customWidth="1"/>
    <col min="7" max="7" width="18" customWidth="1"/>
    <col min="8" max="8" width="23.08984375" customWidth="1"/>
    <col min="9" max="9" width="15.36328125" hidden="1" customWidth="1"/>
    <col min="10" max="10" width="35.7265625" customWidth="1"/>
  </cols>
  <sheetData>
    <row r="1" spans="2:10" x14ac:dyDescent="0.35">
      <c r="B1" t="s">
        <v>0</v>
      </c>
    </row>
    <row r="2" spans="2:10" x14ac:dyDescent="0.35">
      <c r="B2" t="s">
        <v>19</v>
      </c>
    </row>
    <row r="3" spans="2:10" x14ac:dyDescent="0.35">
      <c r="B3" t="s">
        <v>20</v>
      </c>
    </row>
    <row r="4" spans="2:10" x14ac:dyDescent="0.35">
      <c r="B4" t="s">
        <v>1</v>
      </c>
      <c r="C4">
        <v>26</v>
      </c>
      <c r="F4" t="s">
        <v>17</v>
      </c>
      <c r="G4" s="2">
        <v>22</v>
      </c>
    </row>
    <row r="5" spans="2:10" x14ac:dyDescent="0.35">
      <c r="B5" t="s">
        <v>2</v>
      </c>
      <c r="C5">
        <v>50</v>
      </c>
    </row>
    <row r="6" spans="2:10" x14ac:dyDescent="0.35">
      <c r="B6" t="s">
        <v>3</v>
      </c>
      <c r="C6">
        <v>100</v>
      </c>
      <c r="G6" t="s">
        <v>14</v>
      </c>
      <c r="H6" t="s">
        <v>25</v>
      </c>
      <c r="I6" t="s">
        <v>21</v>
      </c>
      <c r="J6" t="s">
        <v>22</v>
      </c>
    </row>
    <row r="7" spans="2:10" x14ac:dyDescent="0.35">
      <c r="B7" t="s">
        <v>4</v>
      </c>
      <c r="F7" t="s">
        <v>12</v>
      </c>
      <c r="G7" s="1">
        <v>0.02</v>
      </c>
      <c r="H7" s="3">
        <f>(100-(G4-C13))*G7</f>
        <v>1.94</v>
      </c>
      <c r="I7">
        <v>0</v>
      </c>
      <c r="J7">
        <f>I7*G7</f>
        <v>0</v>
      </c>
    </row>
    <row r="8" spans="2:10" x14ac:dyDescent="0.35">
      <c r="B8" t="s">
        <v>5</v>
      </c>
      <c r="C8">
        <v>50000</v>
      </c>
      <c r="F8" t="s">
        <v>13</v>
      </c>
      <c r="G8" s="1">
        <v>0.05</v>
      </c>
      <c r="H8" s="3">
        <f>(100-(G4-C13))*G8</f>
        <v>4.8500000000000005</v>
      </c>
      <c r="I8">
        <v>3.5</v>
      </c>
      <c r="J8">
        <f>I8*G8</f>
        <v>0.17500000000000002</v>
      </c>
    </row>
    <row r="9" spans="2:10" x14ac:dyDescent="0.35">
      <c r="F9" t="s">
        <v>8</v>
      </c>
      <c r="G9" s="1">
        <v>0.22</v>
      </c>
      <c r="H9" s="3">
        <f>(100-H8-H7-(G4-C13))*G9</f>
        <v>19.846200000000003</v>
      </c>
      <c r="I9">
        <v>3.5</v>
      </c>
      <c r="J9">
        <f>I9*G9</f>
        <v>0.77</v>
      </c>
    </row>
    <row r="10" spans="2:10" x14ac:dyDescent="0.35">
      <c r="B10" t="s">
        <v>6</v>
      </c>
      <c r="F10" t="s">
        <v>9</v>
      </c>
      <c r="G10" s="1">
        <v>0.1</v>
      </c>
      <c r="H10" s="3">
        <f>(100-H8-H7-(G4-C13))*G10</f>
        <v>9.0210000000000008</v>
      </c>
      <c r="I10">
        <v>20</v>
      </c>
      <c r="J10">
        <f>I10*G10</f>
        <v>2</v>
      </c>
    </row>
    <row r="11" spans="2:10" x14ac:dyDescent="0.35">
      <c r="B11" t="s">
        <v>7</v>
      </c>
      <c r="C11">
        <f>10*C6</f>
        <v>1000</v>
      </c>
      <c r="F11" t="s">
        <v>10</v>
      </c>
      <c r="G11" s="4">
        <v>0.7</v>
      </c>
      <c r="H11" s="3">
        <f>(100-H8-H7-(G4-C13)-H9-H10)*G11</f>
        <v>42.939959999999992</v>
      </c>
      <c r="I11">
        <v>40</v>
      </c>
      <c r="J11">
        <f>I11*G11</f>
        <v>28</v>
      </c>
    </row>
    <row r="12" spans="2:10" x14ac:dyDescent="0.35">
      <c r="F12" t="s">
        <v>11</v>
      </c>
      <c r="G12" s="4">
        <v>0.3</v>
      </c>
      <c r="H12" s="3">
        <f>(100-H8-H7-(G4-C13)-H9-H10)*G12</f>
        <v>18.402839999999998</v>
      </c>
      <c r="I12">
        <v>32</v>
      </c>
      <c r="J12">
        <f>I12*G12</f>
        <v>9.6</v>
      </c>
    </row>
    <row r="13" spans="2:10" x14ac:dyDescent="0.35">
      <c r="B13" t="s">
        <v>18</v>
      </c>
      <c r="C13" s="2">
        <v>19</v>
      </c>
      <c r="F13" t="s">
        <v>24</v>
      </c>
      <c r="G13" s="1">
        <v>0.03</v>
      </c>
      <c r="H13">
        <f>G4-C13</f>
        <v>3</v>
      </c>
      <c r="J13">
        <v>0</v>
      </c>
    </row>
    <row r="14" spans="2:10" x14ac:dyDescent="0.35">
      <c r="F14" t="s">
        <v>30</v>
      </c>
      <c r="G14" s="2">
        <v>15000</v>
      </c>
    </row>
    <row r="15" spans="2:10" x14ac:dyDescent="0.35">
      <c r="B15" t="s">
        <v>15</v>
      </c>
      <c r="C15">
        <f>C4*C5*C6+C8</f>
        <v>180000</v>
      </c>
      <c r="H15" t="s">
        <v>26</v>
      </c>
    </row>
    <row r="16" spans="2:10" x14ac:dyDescent="0.35">
      <c r="B16" t="s">
        <v>16</v>
      </c>
      <c r="C16">
        <f>C15-(G4-C13)*C15/100 - G7*(C15-(G4-C13)*C15/100 ) - G14</f>
        <v>156108</v>
      </c>
    </row>
    <row r="17" spans="2:3" x14ac:dyDescent="0.35">
      <c r="B17" t="s">
        <v>27</v>
      </c>
      <c r="C17">
        <f>C16/C6/C5</f>
        <v>31.221599999999999</v>
      </c>
    </row>
    <row r="18" spans="2:3" x14ac:dyDescent="0.35">
      <c r="B18" t="s">
        <v>23</v>
      </c>
      <c r="C18">
        <f>H13</f>
        <v>3</v>
      </c>
    </row>
    <row r="19" spans="2:3" x14ac:dyDescent="0.35">
      <c r="B19" t="s">
        <v>28</v>
      </c>
      <c r="C19" s="1">
        <f>G7</f>
        <v>0.02</v>
      </c>
    </row>
    <row r="20" spans="2:3" x14ac:dyDescent="0.35">
      <c r="B20" t="s">
        <v>29</v>
      </c>
      <c r="C20" s="1">
        <f>G8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Drying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Deependra Singh</dc:creator>
  <cp:lastModifiedBy>Deependra Singh</cp:lastModifiedBy>
  <dcterms:created xsi:type="dcterms:W3CDTF">2026-07-20T14:11:26Z</dcterms:created>
  <dcterms:modified xsi:type="dcterms:W3CDTF">2026-07-20T15:20:25Z</dcterms:modified>
</cp:coreProperties>
</file>